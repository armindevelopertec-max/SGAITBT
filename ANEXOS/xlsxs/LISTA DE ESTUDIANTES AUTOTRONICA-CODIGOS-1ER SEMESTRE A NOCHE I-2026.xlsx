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BOLIVIANA DE TECNOLOGÍA\ESTUDIANTES INSCRITOS CON CODIGO I-2024\I-2026\"/>
    </mc:Choice>
  </mc:AlternateContent>
  <xr:revisionPtr revIDLastSave="0" documentId="13_ncr:1_{69476049-9C43-47E6-A052-68939F394C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3" i="1"/>
  <c r="N14" i="1"/>
  <c r="N15" i="1"/>
  <c r="H9" i="1"/>
  <c r="H10" i="1"/>
  <c r="N6" i="1"/>
  <c r="N7" i="1"/>
  <c r="N8" i="1"/>
  <c r="H6" i="1"/>
  <c r="H7" i="1"/>
  <c r="H8" i="1"/>
  <c r="H11" i="1"/>
  <c r="H12" i="1"/>
  <c r="H13" i="1"/>
  <c r="H14" i="1"/>
  <c r="H15" i="1"/>
  <c r="H5" i="1" l="1"/>
  <c r="N5" i="1" s="1"/>
</calcChain>
</file>

<file path=xl/sharedStrings.xml><?xml version="1.0" encoding="utf-8"?>
<sst xmlns="http://schemas.openxmlformats.org/spreadsheetml/2006/main" count="116" uniqueCount="51">
  <si>
    <t>N°</t>
  </si>
  <si>
    <t>C.I.</t>
  </si>
  <si>
    <t>CARRERA</t>
  </si>
  <si>
    <t>PARALELO</t>
  </si>
  <si>
    <t>TURNO</t>
  </si>
  <si>
    <t>AUTOTRÓNICA</t>
  </si>
  <si>
    <t xml:space="preserve">TECNICO SUPERIOR </t>
  </si>
  <si>
    <t>SEMESTRAL</t>
  </si>
  <si>
    <t>A</t>
  </si>
  <si>
    <t xml:space="preserve">NIVEL FORMACIÓN </t>
  </si>
  <si>
    <t xml:space="preserve">RÉGIMEN </t>
  </si>
  <si>
    <t>INSTITUTO TECNOLÓGICO " BOLIVIANA DE TECNOLOGÍA"</t>
  </si>
  <si>
    <t>AP. PATERNO</t>
  </si>
  <si>
    <t>AP. MATERNO</t>
  </si>
  <si>
    <t>NOMBRES</t>
  </si>
  <si>
    <t>GEST. ACAD.</t>
  </si>
  <si>
    <t>CÓDIGO DE ESTUDIANTES</t>
  </si>
  <si>
    <t>CELULAR</t>
  </si>
  <si>
    <t>MAMANI</t>
  </si>
  <si>
    <t>IVAN</t>
  </si>
  <si>
    <t xml:space="preserve">QUISPE </t>
  </si>
  <si>
    <t>RODRIGUEZ</t>
  </si>
  <si>
    <t>JUAN CARLOS</t>
  </si>
  <si>
    <t>MATRÍCULA</t>
  </si>
  <si>
    <t>CÓDIGO</t>
  </si>
  <si>
    <t>I/2026</t>
  </si>
  <si>
    <t>LISTA DE ESTUDIANTES INSCRITOS 1ER SEMESTRE A NOCHE AUTOTRÓNICA I/2026</t>
  </si>
  <si>
    <t xml:space="preserve">ARUQUIPA </t>
  </si>
  <si>
    <t>PAUCARA</t>
  </si>
  <si>
    <t>JENRI</t>
  </si>
  <si>
    <t>CALLISAYA</t>
  </si>
  <si>
    <t>COTA</t>
  </si>
  <si>
    <t>CHOQUE</t>
  </si>
  <si>
    <t>CASTAÑETA</t>
  </si>
  <si>
    <t>ROLY STEVEN</t>
  </si>
  <si>
    <t xml:space="preserve">CONDE </t>
  </si>
  <si>
    <t>CHARCA</t>
  </si>
  <si>
    <t>WILFREDO</t>
  </si>
  <si>
    <t>ROJAS</t>
  </si>
  <si>
    <t>CRISTIAN</t>
  </si>
  <si>
    <t>QUISPE</t>
  </si>
  <si>
    <t>FRANKLIN</t>
  </si>
  <si>
    <t>MATTA</t>
  </si>
  <si>
    <t>ABIGAIL</t>
  </si>
  <si>
    <t>JUDITH MADELY</t>
  </si>
  <si>
    <t>SOTO</t>
  </si>
  <si>
    <t>AVALOS</t>
  </si>
  <si>
    <t>YUJRA</t>
  </si>
  <si>
    <t>CATARI</t>
  </si>
  <si>
    <t>LEONARDO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</si>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</sst>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2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right"/>
    </xf>
    <xf numFmtId="0" fontId="4" fillId="2" borderId="1" xfId="0" quotePrefix="1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70" zoomScaleNormal="70" workbookViewId="0">
      <selection activeCell="J21" sqref="J21"/>
    </sheetView>
  </sheetViews>
  <sheetFormatPr baseColWidth="10" defaultRowHeight="15" x14ac:dyDescent="0.25"/>
  <cols>
    <col min="1" max="1" width="7.7109375" customWidth="1"/>
    <col min="2" max="2" width="18.28515625" customWidth="1"/>
    <col min="3" max="3" width="17.28515625" customWidth="1"/>
    <col min="4" max="4" width="23.140625" customWidth="1"/>
    <col min="5" max="5" width="14.85546875" customWidth="1"/>
    <col min="6" max="6" width="14.28515625" customWidth="1"/>
    <col min="7" max="7" width="15.85546875" customWidth="1"/>
    <col min="8" max="8" width="19.140625" customWidth="1"/>
    <col min="9" max="9" width="20.7109375" customWidth="1"/>
    <col min="10" max="10" width="28.7109375" customWidth="1"/>
    <col min="11" max="11" width="22.5703125" customWidth="1"/>
    <col min="12" max="12" width="12.7109375" bestFit="1" customWidth="1"/>
    <col min="13" max="13" width="10.28515625" bestFit="1" customWidth="1"/>
    <col min="14" max="14" width="17.7109375" customWidth="1"/>
  </cols>
  <sheetData>
    <row r="1" spans="1:15" ht="49.15" customHeight="1" x14ac:dyDescent="0.4">
      <c r="A1" s="11" t="s">
        <v>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 ht="49.15" customHeight="1" x14ac:dyDescent="0.25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5" ht="35.450000000000003" customHeight="1" x14ac:dyDescent="0.35">
      <c r="A3" s="10" t="s">
        <v>16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"/>
    </row>
    <row r="4" spans="1:15" ht="15.75" x14ac:dyDescent="0.25">
      <c r="A4" s="4" t="s">
        <v>0</v>
      </c>
      <c r="B4" s="4" t="s">
        <v>12</v>
      </c>
      <c r="C4" s="4" t="s">
        <v>13</v>
      </c>
      <c r="D4" s="4" t="s">
        <v>14</v>
      </c>
      <c r="E4" s="4" t="s">
        <v>1</v>
      </c>
      <c r="F4" s="4" t="s">
        <v>17</v>
      </c>
      <c r="G4" s="4" t="s">
        <v>15</v>
      </c>
      <c r="H4" s="4" t="s">
        <v>24</v>
      </c>
      <c r="I4" s="4" t="s">
        <v>2</v>
      </c>
      <c r="J4" s="4" t="s">
        <v>9</v>
      </c>
      <c r="K4" s="4" t="s">
        <v>10</v>
      </c>
      <c r="L4" s="4" t="s">
        <v>3</v>
      </c>
      <c r="M4" s="4" t="s">
        <v>4</v>
      </c>
      <c r="N4" s="4" t="s">
        <v>23</v>
      </c>
    </row>
    <row r="5" spans="1:15" ht="15.75" x14ac:dyDescent="0.25">
      <c r="A5" s="2">
        <v>1</v>
      </c>
      <c r="B5" s="8" t="s">
        <v>27</v>
      </c>
      <c r="C5" s="8" t="s">
        <v>28</v>
      </c>
      <c r="D5" s="8" t="s">
        <v>29</v>
      </c>
      <c r="E5" s="9">
        <v>13309459</v>
      </c>
      <c r="F5" s="5"/>
      <c r="G5" s="5" t="s">
        <v>25</v>
      </c>
      <c r="H5" s="7" t="str">
        <f>CONCATENATE(LEFT(B5,1),LEFT(C5,1),LEFT(D5,1),"-",E5)</f>
        <v>APJ-13309459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50</v>
      </c>
      <c r="N5" s="6" t="str">
        <f t="shared" ref="N5:N15" si="0">CONCATENATE(LEFT(B5,1),LEFT(C5,1),LEFT(D5,1),"-",LEFT(I5,2),RIGHT(G5,2),RIGHT(E5,2))</f>
        <v>APJ-AU2659</v>
      </c>
    </row>
    <row r="6" spans="1:15" ht="15.75" x14ac:dyDescent="0.25">
      <c r="A6" s="2">
        <v>2</v>
      </c>
      <c r="B6" s="8" t="s">
        <v>30</v>
      </c>
      <c r="C6" s="8" t="s">
        <v>31</v>
      </c>
      <c r="D6" s="8" t="s">
        <v>22</v>
      </c>
      <c r="E6" s="9">
        <v>10073362</v>
      </c>
      <c r="F6" s="5"/>
      <c r="G6" s="5" t="s">
        <v>25</v>
      </c>
      <c r="H6" s="7" t="str">
        <f t="shared" ref="H6:H15" si="1">CONCATENATE(LEFT(B6,1),LEFT(C6,1),LEFT(D6,1),"-",E6)</f>
        <v>CCJ-10073362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50</v>
      </c>
      <c r="N6" s="6" t="str">
        <f t="shared" si="0"/>
        <v>CCJ-AU2662</v>
      </c>
    </row>
    <row r="7" spans="1:15" ht="15.75" x14ac:dyDescent="0.25">
      <c r="A7" s="2">
        <v>3</v>
      </c>
      <c r="B7" s="8" t="s">
        <v>32</v>
      </c>
      <c r="C7" s="8" t="s">
        <v>33</v>
      </c>
      <c r="D7" s="8" t="s">
        <v>34</v>
      </c>
      <c r="E7" s="9">
        <v>8338223</v>
      </c>
      <c r="F7" s="5"/>
      <c r="G7" s="5" t="s">
        <v>25</v>
      </c>
      <c r="H7" s="7" t="str">
        <f t="shared" si="1"/>
        <v>CCR-8338223</v>
      </c>
      <c r="I7" s="3" t="s">
        <v>5</v>
      </c>
      <c r="J7" s="3" t="s">
        <v>6</v>
      </c>
      <c r="K7" s="3" t="s">
        <v>7</v>
      </c>
      <c r="L7" s="3" t="s">
        <v>8</v>
      </c>
      <c r="M7" s="3" t="s">
        <v>50</v>
      </c>
      <c r="N7" s="6" t="str">
        <f t="shared" si="0"/>
        <v>CCR-AU2623</v>
      </c>
    </row>
    <row r="8" spans="1:15" ht="15.75" x14ac:dyDescent="0.25">
      <c r="A8" s="2">
        <v>4</v>
      </c>
      <c r="B8" s="8" t="s">
        <v>35</v>
      </c>
      <c r="C8" s="8" t="s">
        <v>36</v>
      </c>
      <c r="D8" s="8" t="s">
        <v>37</v>
      </c>
      <c r="E8" s="9">
        <v>10937314</v>
      </c>
      <c r="F8" s="5"/>
      <c r="G8" s="5" t="s">
        <v>25</v>
      </c>
      <c r="H8" s="7" t="str">
        <f t="shared" si="1"/>
        <v>CCW-10937314</v>
      </c>
      <c r="I8" s="3" t="s">
        <v>5</v>
      </c>
      <c r="J8" s="3" t="s">
        <v>6</v>
      </c>
      <c r="K8" s="3" t="s">
        <v>7</v>
      </c>
      <c r="L8" s="3" t="s">
        <v>8</v>
      </c>
      <c r="M8" s="3" t="s">
        <v>50</v>
      </c>
      <c r="N8" s="6" t="str">
        <f t="shared" si="0"/>
        <v>CCW-AU2614</v>
      </c>
    </row>
    <row r="9" spans="1:15" ht="15.75" x14ac:dyDescent="0.25">
      <c r="A9" s="2">
        <v>5</v>
      </c>
      <c r="B9" s="8" t="s">
        <v>18</v>
      </c>
      <c r="C9" s="8" t="s">
        <v>38</v>
      </c>
      <c r="D9" s="8" t="s">
        <v>39</v>
      </c>
      <c r="E9" s="9">
        <v>6780771</v>
      </c>
      <c r="F9" s="5"/>
      <c r="G9" s="5" t="s">
        <v>25</v>
      </c>
      <c r="H9" s="7" t="str">
        <f t="shared" si="1"/>
        <v>MRC-6780771</v>
      </c>
      <c r="I9" s="3" t="s">
        <v>5</v>
      </c>
      <c r="J9" s="3" t="s">
        <v>6</v>
      </c>
      <c r="K9" s="3" t="s">
        <v>7</v>
      </c>
      <c r="L9" s="3" t="s">
        <v>8</v>
      </c>
      <c r="M9" s="3" t="s">
        <v>50</v>
      </c>
      <c r="N9" s="6" t="str">
        <f t="shared" si="0"/>
        <v>MRC-AU2671</v>
      </c>
    </row>
    <row r="10" spans="1:15" ht="15.75" x14ac:dyDescent="0.25">
      <c r="A10" s="2">
        <v>6</v>
      </c>
      <c r="B10" s="8" t="s">
        <v>40</v>
      </c>
      <c r="C10" s="8" t="s">
        <v>18</v>
      </c>
      <c r="D10" s="8" t="s">
        <v>41</v>
      </c>
      <c r="E10" s="9">
        <v>8396279</v>
      </c>
      <c r="F10" s="5"/>
      <c r="G10" s="5" t="s">
        <v>25</v>
      </c>
      <c r="H10" s="7" t="str">
        <f t="shared" si="1"/>
        <v>QMF-8396279</v>
      </c>
      <c r="I10" s="3" t="s">
        <v>5</v>
      </c>
      <c r="J10" s="3" t="s">
        <v>6</v>
      </c>
      <c r="K10" s="3" t="s">
        <v>7</v>
      </c>
      <c r="L10" s="3" t="s">
        <v>8</v>
      </c>
      <c r="M10" s="3" t="s">
        <v>50</v>
      </c>
      <c r="N10" s="6" t="str">
        <f t="shared" si="0"/>
        <v>QMF-AU2679</v>
      </c>
    </row>
    <row r="11" spans="1:15" ht="15.75" x14ac:dyDescent="0.25">
      <c r="A11" s="2">
        <v>7</v>
      </c>
      <c r="B11" s="8" t="s">
        <v>20</v>
      </c>
      <c r="C11" s="8" t="s">
        <v>42</v>
      </c>
      <c r="D11" s="8" t="s">
        <v>43</v>
      </c>
      <c r="E11" s="9">
        <v>11074474</v>
      </c>
      <c r="F11" s="5"/>
      <c r="G11" s="5" t="s">
        <v>25</v>
      </c>
      <c r="H11" s="7" t="str">
        <f t="shared" si="1"/>
        <v>QMA-11074474</v>
      </c>
      <c r="I11" s="3" t="s">
        <v>5</v>
      </c>
      <c r="J11" s="3" t="s">
        <v>6</v>
      </c>
      <c r="K11" s="3" t="s">
        <v>7</v>
      </c>
      <c r="L11" s="3" t="s">
        <v>8</v>
      </c>
      <c r="M11" s="3" t="s">
        <v>50</v>
      </c>
      <c r="N11" s="6" t="str">
        <f t="shared" si="0"/>
        <v>QMA-AU2674</v>
      </c>
    </row>
    <row r="12" spans="1:15" ht="15.75" x14ac:dyDescent="0.25">
      <c r="A12" s="2">
        <v>8</v>
      </c>
      <c r="B12" s="8" t="s">
        <v>20</v>
      </c>
      <c r="C12" s="8" t="s">
        <v>21</v>
      </c>
      <c r="D12" s="8" t="s">
        <v>44</v>
      </c>
      <c r="E12" s="9">
        <v>6942808</v>
      </c>
      <c r="F12" s="5"/>
      <c r="G12" s="5" t="s">
        <v>25</v>
      </c>
      <c r="H12" s="7" t="str">
        <f t="shared" si="1"/>
        <v>QRJ-6942808</v>
      </c>
      <c r="I12" s="3" t="s">
        <v>5</v>
      </c>
      <c r="J12" s="3" t="s">
        <v>6</v>
      </c>
      <c r="K12" s="3" t="s">
        <v>7</v>
      </c>
      <c r="L12" s="3" t="s">
        <v>8</v>
      </c>
      <c r="M12" s="3" t="s">
        <v>50</v>
      </c>
      <c r="N12" s="6" t="str">
        <f t="shared" si="0"/>
        <v>QRJ-AU2608</v>
      </c>
    </row>
    <row r="13" spans="1:15" ht="15.75" x14ac:dyDescent="0.25">
      <c r="A13" s="2">
        <v>9</v>
      </c>
      <c r="B13" s="8" t="s">
        <v>40</v>
      </c>
      <c r="C13" s="8" t="s">
        <v>45</v>
      </c>
      <c r="D13" s="8" t="s">
        <v>19</v>
      </c>
      <c r="E13" s="9">
        <v>14181116</v>
      </c>
      <c r="F13" s="5"/>
      <c r="G13" s="5" t="s">
        <v>25</v>
      </c>
      <c r="H13" s="7" t="str">
        <f t="shared" si="1"/>
        <v>QSI-14181116</v>
      </c>
      <c r="I13" s="3" t="s">
        <v>5</v>
      </c>
      <c r="J13" s="3" t="s">
        <v>6</v>
      </c>
      <c r="K13" s="3" t="s">
        <v>7</v>
      </c>
      <c r="L13" s="3" t="s">
        <v>8</v>
      </c>
      <c r="M13" s="3" t="s">
        <v>50</v>
      </c>
      <c r="N13" s="6" t="str">
        <f t="shared" si="0"/>
        <v>QSI-AU2616</v>
      </c>
    </row>
    <row r="14" spans="1:15" ht="15.75" x14ac:dyDescent="0.25">
      <c r="A14" s="2">
        <v>10</v>
      </c>
      <c r="B14" s="8" t="s">
        <v>45</v>
      </c>
      <c r="C14" s="8" t="s">
        <v>46</v>
      </c>
      <c r="D14" s="8" t="s">
        <v>22</v>
      </c>
      <c r="E14" s="9">
        <v>4933082</v>
      </c>
      <c r="F14" s="5"/>
      <c r="G14" s="5" t="s">
        <v>25</v>
      </c>
      <c r="H14" s="7" t="str">
        <f t="shared" si="1"/>
        <v>SAJ-4933082</v>
      </c>
      <c r="I14" s="3" t="s">
        <v>5</v>
      </c>
      <c r="J14" s="3" t="s">
        <v>6</v>
      </c>
      <c r="K14" s="3" t="s">
        <v>7</v>
      </c>
      <c r="L14" s="3" t="s">
        <v>8</v>
      </c>
      <c r="M14" s="3" t="s">
        <v>50</v>
      </c>
      <c r="N14" s="6" t="str">
        <f t="shared" si="0"/>
        <v>SAJ-AU2682</v>
      </c>
    </row>
    <row r="15" spans="1:15" ht="15.75" x14ac:dyDescent="0.25">
      <c r="A15" s="2">
        <v>11</v>
      </c>
      <c r="B15" s="8" t="s">
        <v>47</v>
      </c>
      <c r="C15" s="8" t="s">
        <v>48</v>
      </c>
      <c r="D15" s="8" t="s">
        <v>49</v>
      </c>
      <c r="E15" s="9">
        <v>13849592</v>
      </c>
      <c r="F15" s="5"/>
      <c r="G15" s="5" t="s">
        <v>25</v>
      </c>
      <c r="H15" s="7" t="str">
        <f t="shared" si="1"/>
        <v>YCL-13849592</v>
      </c>
      <c r="I15" s="3" t="s">
        <v>5</v>
      </c>
      <c r="J15" s="3" t="s">
        <v>6</v>
      </c>
      <c r="K15" s="3" t="s">
        <v>7</v>
      </c>
      <c r="L15" s="3" t="s">
        <v>8</v>
      </c>
      <c r="M15" s="3" t="s">
        <v>50</v>
      </c>
      <c r="N15" s="6" t="str">
        <f t="shared" si="0"/>
        <v>YCL-AU2692</v>
      </c>
    </row>
  </sheetData>
  <mergeCells count="3">
    <mergeCell ref="A3:N3"/>
    <mergeCell ref="A1:N1"/>
    <mergeCell ref="A2:N2"/>
  </mergeCells>
  <phoneticPr fontId="7" type="noConversion"/>
  <pageMargins left="0.7" right="0.7" top="0.75" bottom="0.75" header="0.3" footer="0.3"/>
  <pageSetup paperSize="13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AUTOMOTRIZ</cp:lastModifiedBy>
  <dcterms:created xsi:type="dcterms:W3CDTF">2024-03-06T13:00:07Z</dcterms:created>
  <dcterms:modified xsi:type="dcterms:W3CDTF">2026-03-26T15:14:34Z</dcterms:modified>
</cp:coreProperties>
</file>